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mnm/Documents/coding projects/bw-claude-skills-mnm/bw-workplan/tests/"/>
    </mc:Choice>
  </mc:AlternateContent>
  <xr:revisionPtr revIDLastSave="0" documentId="13_ncr:1_{9B11F0D1-A1A3-0248-9B6B-7EEAAA58B4C9}" xr6:coauthVersionLast="47" xr6:coauthVersionMax="47" xr10:uidLastSave="{00000000-0000-0000-0000-000000000000}"/>
  <bookViews>
    <workbookView xWindow="0" yWindow="660" windowWidth="30240" windowHeight="17440" xr2:uid="{00000000-000D-0000-FFFF-FFFF00000000}"/>
  </bookViews>
  <sheets>
    <sheet name="Eval Checklis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9" i="1" l="1"/>
  <c r="D69" i="1"/>
  <c r="E68" i="1"/>
  <c r="D68" i="1"/>
  <c r="E67" i="1"/>
  <c r="D67" i="1"/>
  <c r="E66" i="1"/>
  <c r="D66" i="1"/>
  <c r="E65" i="1"/>
  <c r="D65" i="1"/>
  <c r="E64" i="1"/>
  <c r="D64" i="1"/>
  <c r="E63" i="1"/>
  <c r="E70" i="1" s="1"/>
  <c r="D63" i="1"/>
  <c r="D70" i="1" s="1"/>
</calcChain>
</file>

<file path=xl/sharedStrings.xml><?xml version="1.0" encoding="utf-8"?>
<sst xmlns="http://schemas.openxmlformats.org/spreadsheetml/2006/main" count="123" uniqueCount="87">
  <si>
    <t>bw-workplan Skill Evaluation Checklist</t>
  </si>
  <si>
    <t>OOO dates:</t>
  </si>
  <si>
    <t>#</t>
  </si>
  <si>
    <t>Category</t>
  </si>
  <si>
    <t>Check</t>
  </si>
  <si>
    <t>Result</t>
  </si>
  <si>
    <t>Notes</t>
  </si>
  <si>
    <t>1. Conversation &amp; Skill Behavior</t>
  </si>
  <si>
    <t>Info gathering</t>
  </si>
  <si>
    <t>Asked for start date, end date, team members, cost code, and OOO before building</t>
  </si>
  <si>
    <t>Asked everything in a single message (not multiple rounds)</t>
  </si>
  <si>
    <t>Did not proceed until dates were confirmed</t>
  </si>
  <si>
    <t>Summary</t>
  </si>
  <si>
    <t>Summary states project name, timeline window, and feasibility status</t>
  </si>
  <si>
    <t>Task count mentioned</t>
  </si>
  <si>
    <t>If tight/infeasible: explicitly called out with explanation</t>
  </si>
  <si>
    <t>Assumptions or inferences noted</t>
  </si>
  <si>
    <t>2. Cover Sheet</t>
  </si>
  <si>
    <t>Content</t>
  </si>
  <si>
    <t>Project name is correct (not placeholder)</t>
  </si>
  <si>
    <t>Cost code matches what was provided (or blank if none)</t>
  </si>
  <si>
    <t>Team member names listed correctly</t>
  </si>
  <si>
    <t>Phase names listed and match the Detailed Workplan</t>
  </si>
  <si>
    <t>3. Project Timeline</t>
  </si>
  <si>
    <t>Dates</t>
  </si>
  <si>
    <t>Week columns start from the project start date</t>
  </si>
  <si>
    <t>Week columns end at or near the project end date</t>
  </si>
  <si>
    <t>No extra blank week columns visible after project ends</t>
  </si>
  <si>
    <t>Team member names match the Cover Sheet</t>
  </si>
  <si>
    <t>Phase names appear for each week and progress logically</t>
  </si>
  <si>
    <t>Key activities populated for active weeks</t>
  </si>
  <si>
    <t>Milestones and deadlines appear in correct weeks</t>
  </si>
  <si>
    <t>OOO</t>
  </si>
  <si>
    <t>OOO/PTO notes appear in correct weeks (if applicable)</t>
  </si>
  <si>
    <t>Team capacity rows reflect individual OOO (if applicable)</t>
  </si>
  <si>
    <t>4. Detailed Workplan — Tasks</t>
  </si>
  <si>
    <t>Quality</t>
  </si>
  <si>
    <t>Tasks are specific and actionable (action verbs)</t>
  </si>
  <si>
    <t>Deliverables decomposed into steps (draft, review, revision)</t>
  </si>
  <si>
    <t>At least 3 distinct phases visible</t>
  </si>
  <si>
    <t>Reasonable number of tasks (typically 15+ for multi-phase)</t>
  </si>
  <si>
    <t>Dependencies make sense (synthesis after interviews, etc.)</t>
  </si>
  <si>
    <t>Client review periods included where SOW specifies</t>
  </si>
  <si>
    <t>Owners assigned where specified (or blank if not)</t>
  </si>
  <si>
    <t>5. Detailed Workplan — Dates</t>
  </si>
  <si>
    <t>All start dates fall on weekdays</t>
  </si>
  <si>
    <t>All deadlines fall on weekdays</t>
  </si>
  <si>
    <t>No tasks start before the project start date</t>
  </si>
  <si>
    <t>No tasks end after the project end date</t>
  </si>
  <si>
    <t>Start date is on or before deadline for every task</t>
  </si>
  <si>
    <t>No tasks scheduled during OOO dates (if applicable)</t>
  </si>
  <si>
    <t>Dates progress logically (earlier phases have earlier dates)</t>
  </si>
  <si>
    <t>6. Detailed Workplan — Formatting</t>
  </si>
  <si>
    <t>Interactivity</t>
  </si>
  <si>
    <t>Status column defaults to "Not started" for all tasks</t>
  </si>
  <si>
    <t>Status dropdown works (Not started / To-Do / In progress / Completed)</t>
  </si>
  <si>
    <t>Changing status to "Completed" grays out the row</t>
  </si>
  <si>
    <t>Feasibility</t>
  </si>
  <si>
    <t>If tight/infeasible: orange warning banner at top of task list</t>
  </si>
  <si>
    <t>If feasible: no warning banner</t>
  </si>
  <si>
    <t>7. Overall Quality</t>
  </si>
  <si>
    <t>Judgment</t>
  </si>
  <si>
    <t>Workplan is a reasonable interpretation of the source document</t>
  </si>
  <si>
    <t>Phase structure makes sense for the project</t>
  </si>
  <si>
    <t>Duration estimates feel realistic (not all defaulting to 3 days)</t>
  </si>
  <si>
    <t>Schedule has some buffer (not every day packed)</t>
  </si>
  <si>
    <t>Could share with a project team as a starting point</t>
  </si>
  <si>
    <t>Section</t>
  </si>
  <si>
    <t>Items</t>
  </si>
  <si>
    <t>Pass</t>
  </si>
  <si>
    <t>Fail</t>
  </si>
  <si>
    <t>Conversation &amp; Skill Behavior</t>
  </si>
  <si>
    <t>Cover Sheet</t>
  </si>
  <si>
    <t>Project Timeline</t>
  </si>
  <si>
    <t>Detailed Workplan — Tasks</t>
  </si>
  <si>
    <t>Detailed Workplan — Dates</t>
  </si>
  <si>
    <t>Detailed Workplan — Formatting</t>
  </si>
  <si>
    <t>Overall Quality</t>
  </si>
  <si>
    <t>Total</t>
  </si>
  <si>
    <t>Overall verdict:</t>
  </si>
  <si>
    <t>Issues to address:</t>
  </si>
  <si>
    <t>1.</t>
  </si>
  <si>
    <t>2.</t>
  </si>
  <si>
    <t>3.</t>
  </si>
  <si>
    <t>Link to Proposal Used:</t>
  </si>
  <si>
    <t>Team Members:</t>
  </si>
  <si>
    <t>Prompt Given: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</si>
</sst>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4"/>
      <color rgb="FF6D1E4A"/>
      <name val="Aptos"/>
    </font>
    <font>
      <b/>
      <sz val="10"/>
      <name val="Aptos"/>
    </font>
    <font>
      <sz val="10"/>
      <color rgb="FF333333"/>
      <name val="Aptos"/>
    </font>
    <font>
      <b/>
      <sz val="11"/>
      <color rgb="FFFFFFFF"/>
      <name val="Aptos"/>
    </font>
    <font>
      <b/>
      <sz val="11"/>
      <color rgb="FF6D1E4A"/>
      <name val="Aptos"/>
    </font>
    <font>
      <sz val="9"/>
      <color rgb="FF999999"/>
      <name val="Aptos"/>
    </font>
    <font>
      <b/>
      <sz val="13"/>
      <color rgb="FF6D1E4A"/>
      <name val="Aptos"/>
    </font>
    <font>
      <b/>
      <sz val="11"/>
      <name val="Aptos"/>
    </font>
    <font>
      <sz val="10"/>
      <color rgb="FF999999"/>
      <name val="Aptos"/>
    </font>
  </fonts>
  <fills count="4">
    <fill>
      <patternFill patternType="none"/>
    </fill>
    <fill>
      <patternFill patternType="gray125"/>
    </fill>
    <fill>
      <patternFill patternType="solid">
        <fgColor rgb="FF6D1E4A"/>
      </patternFill>
    </fill>
    <fill>
      <patternFill patternType="solid">
        <fgColor rgb="FFE2D2DB"/>
      </patternFill>
    </fill>
  </fills>
  <borders count="3">
    <border>
      <left/>
      <right/>
      <top/>
      <bottom/>
      <diagonal/>
    </border>
    <border>
      <left style="thin">
        <color rgb="FFD9D9D9"/>
      </left>
      <right style="thin">
        <color rgb="FFD9D9D9"/>
      </right>
      <top style="thin">
        <color rgb="FFD9D9D9"/>
      </top>
      <bottom style="thin">
        <color rgb="FFD9D9D9"/>
      </bottom>
      <diagonal/>
    </border>
    <border>
      <left/>
      <right/>
      <top/>
      <bottom style="thin">
        <color rgb="FFD9D9D9"/>
      </bottom>
      <diagonal/>
    </border>
  </borders>
  <cellStyleXfs count="1">
    <xf numFmtId="0" fontId="0" fillId="0" borderId="0"/>
  </cellStyleXfs>
  <cellXfs count="22">
    <xf numFmtId="0" fontId="0" fillId="0" borderId="0" xfId="0"/>
    <xf numFmtId="0" fontId="2" fillId="0" borderId="0" xfId="0" applyFont="1"/>
    <xf numFmtId="0" fontId="3" fillId="0" borderId="0" xfId="0" applyFont="1" applyAlignment="1">
      <alignment horizontal="left"/>
    </xf>
    <xf numFmtId="0" fontId="4" fillId="2" borderId="1" xfId="0" applyFont="1" applyFill="1" applyBorder="1" applyAlignment="1">
      <alignment horizontal="center" vertical="center"/>
    </xf>
    <xf numFmtId="0" fontId="6" fillId="0" borderId="1" xfId="0" applyFont="1" applyBorder="1" applyAlignment="1">
      <alignment horizontal="center" vertical="center"/>
    </xf>
    <xf numFmtId="0" fontId="3" fillId="0" borderId="1" xfId="0" applyFont="1" applyBorder="1" applyAlignment="1">
      <alignment vertical="center"/>
    </xf>
    <xf numFmtId="0" fontId="3" fillId="0" borderId="1" xfId="0" applyFont="1" applyBorder="1" applyAlignment="1">
      <alignment vertical="center" wrapText="1"/>
    </xf>
    <xf numFmtId="0" fontId="3" fillId="0" borderId="1" xfId="0" applyFont="1" applyBorder="1" applyAlignment="1">
      <alignment horizontal="center" vertical="center"/>
    </xf>
    <xf numFmtId="0" fontId="3" fillId="0" borderId="1" xfId="0" applyFont="1" applyBorder="1"/>
    <xf numFmtId="0" fontId="3" fillId="0" borderId="1" xfId="0" applyFont="1" applyBorder="1" applyAlignment="1">
      <alignment horizontal="center"/>
    </xf>
    <xf numFmtId="0" fontId="2" fillId="0" borderId="1" xfId="0" applyFont="1" applyBorder="1"/>
    <xf numFmtId="0" fontId="2" fillId="0" borderId="1" xfId="0" applyFont="1" applyBorder="1" applyAlignment="1">
      <alignment horizontal="center"/>
    </xf>
    <xf numFmtId="0" fontId="8" fillId="0" borderId="0" xfId="0" applyFont="1"/>
    <xf numFmtId="0" fontId="9" fillId="0" borderId="0" xfId="0" applyFont="1"/>
    <xf numFmtId="0" fontId="5" fillId="0" borderId="0" xfId="0" applyFont="1"/>
    <xf numFmtId="0" fontId="0" fillId="0" borderId="0" xfId="0"/>
    <xf numFmtId="0" fontId="7" fillId="0" borderId="0" xfId="0" applyFont="1"/>
    <xf numFmtId="0" fontId="5" fillId="3" borderId="1" xfId="0" applyFont="1" applyFill="1" applyBorder="1" applyAlignment="1">
      <alignment vertical="center"/>
    </xf>
    <xf numFmtId="0" fontId="0" fillId="3" borderId="1" xfId="0" applyFill="1" applyBorder="1"/>
    <xf numFmtId="0" fontId="3" fillId="0" borderId="2" xfId="0" applyFont="1" applyBorder="1"/>
    <xf numFmtId="0" fontId="0" fillId="0" borderId="2" xfId="0" applyBorder="1"/>
    <xf numFmtId="0" fontId="1" fillId="0" borderId="0" xfId="0" applyFont="1" applyAlignment="1">
      <alignment vertical="center"/>
    </xf>
  </cellXfs>
  <cellStyles count="1">
    <cellStyle name="Normal" xfId="0" builtinId="0"/>
  </cellStyles>
  <dxfs count="3">
    <dxf>
      <font>
        <sz val="10"/>
        <color rgb="FF999999"/>
        <name val="Aptos"/>
      </font>
      <fill>
        <patternFill patternType="solid">
          <fgColor rgb="FFF0F0F0"/>
        </patternFill>
      </fill>
    </dxf>
    <dxf>
      <font>
        <b/>
        <sz val="10"/>
        <color rgb="FFC00000"/>
        <name val="Aptos"/>
      </font>
      <fill>
        <patternFill patternType="solid">
          <fgColor rgb="FFFFD5D5"/>
        </patternFill>
      </fill>
    </dxf>
    <dxf>
      <font>
        <b/>
        <sz val="10"/>
        <color rgb="FF2D7D2D"/>
        <name val="Aptos"/>
      </font>
      <fill>
        <patternFill patternType="solid">
          <fgColor rgb="FFD5F5D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77"/>
  <sheetViews>
    <sheetView tabSelected="1" workbookViewId="0">
      <pane ySplit="8" topLeftCell="A9" activePane="bottomLeft" state="frozen"/>
      <selection pane="bottomLeft" activeCell="C3" sqref="C3"/>
    </sheetView>
  </sheetViews>
  <sheetFormatPr baseColWidth="10" defaultColWidth="8.83203125" defaultRowHeight="15" x14ac:dyDescent="0.2"/>
  <cols>
    <col min="1" max="1" width="5" customWidth="1"/>
    <col min="2" max="2" width="24" customWidth="1"/>
    <col min="3" max="3" width="55" customWidth="1"/>
    <col min="4" max="4" width="12" customWidth="1"/>
    <col min="5" max="5" width="40" customWidth="1"/>
  </cols>
  <sheetData>
    <row r="1" spans="1:5" ht="30" customHeight="1" x14ac:dyDescent="0.2">
      <c r="A1" s="21" t="s">
        <v>0</v>
      </c>
      <c r="B1" s="15"/>
      <c r="C1" s="15"/>
      <c r="D1" s="15"/>
      <c r="E1" s="15"/>
    </row>
    <row r="3" spans="1:5" x14ac:dyDescent="0.2">
      <c r="B3" s="1" t="s">
        <v>84</v>
      </c>
      <c r="C3" s="2"/>
    </row>
    <row r="4" spans="1:5" x14ac:dyDescent="0.2">
      <c r="B4" s="1" t="s">
        <v>86</v>
      </c>
      <c r="C4" s="2"/>
    </row>
    <row r="5" spans="1:5" x14ac:dyDescent="0.2">
      <c r="B5" s="1" t="s">
        <v>85</v>
      </c>
      <c r="C5" s="2"/>
    </row>
    <row r="6" spans="1:5" x14ac:dyDescent="0.2">
      <c r="B6" s="1" t="s">
        <v>1</v>
      </c>
      <c r="C6" s="2"/>
    </row>
    <row r="8" spans="1:5" ht="22" customHeight="1" x14ac:dyDescent="0.2">
      <c r="A8" s="3" t="s">
        <v>2</v>
      </c>
      <c r="B8" s="3" t="s">
        <v>3</v>
      </c>
      <c r="C8" s="3" t="s">
        <v>4</v>
      </c>
      <c r="D8" s="3" t="s">
        <v>5</v>
      </c>
      <c r="E8" s="3" t="s">
        <v>6</v>
      </c>
    </row>
    <row r="9" spans="1:5" ht="24" customHeight="1" x14ac:dyDescent="0.2">
      <c r="A9" s="17" t="s">
        <v>7</v>
      </c>
      <c r="B9" s="18"/>
      <c r="C9" s="18"/>
      <c r="D9" s="18"/>
      <c r="E9" s="18"/>
    </row>
    <row r="10" spans="1:5" ht="28" customHeight="1" x14ac:dyDescent="0.2">
      <c r="A10" s="4">
        <v>1</v>
      </c>
      <c r="B10" s="5" t="s">
        <v>8</v>
      </c>
      <c r="C10" s="6" t="s">
        <v>9</v>
      </c>
      <c r="D10" s="7"/>
      <c r="E10" s="5"/>
    </row>
    <row r="11" spans="1:5" ht="28" customHeight="1" x14ac:dyDescent="0.2">
      <c r="A11" s="4">
        <v>2</v>
      </c>
      <c r="B11" s="5" t="s">
        <v>8</v>
      </c>
      <c r="C11" s="6" t="s">
        <v>10</v>
      </c>
      <c r="D11" s="7"/>
      <c r="E11" s="5"/>
    </row>
    <row r="12" spans="1:5" ht="28" customHeight="1" x14ac:dyDescent="0.2">
      <c r="A12" s="4">
        <v>3</v>
      </c>
      <c r="B12" s="5" t="s">
        <v>8</v>
      </c>
      <c r="C12" s="6" t="s">
        <v>11</v>
      </c>
      <c r="D12" s="7"/>
      <c r="E12" s="5"/>
    </row>
    <row r="13" spans="1:5" ht="28" customHeight="1" x14ac:dyDescent="0.2">
      <c r="A13" s="4">
        <v>4</v>
      </c>
      <c r="B13" s="5" t="s">
        <v>12</v>
      </c>
      <c r="C13" s="6" t="s">
        <v>13</v>
      </c>
      <c r="D13" s="7"/>
      <c r="E13" s="5"/>
    </row>
    <row r="14" spans="1:5" ht="28" customHeight="1" x14ac:dyDescent="0.2">
      <c r="A14" s="4">
        <v>5</v>
      </c>
      <c r="B14" s="5" t="s">
        <v>12</v>
      </c>
      <c r="C14" s="6" t="s">
        <v>14</v>
      </c>
      <c r="D14" s="7"/>
      <c r="E14" s="5"/>
    </row>
    <row r="15" spans="1:5" ht="28" customHeight="1" x14ac:dyDescent="0.2">
      <c r="A15" s="4">
        <v>6</v>
      </c>
      <c r="B15" s="5" t="s">
        <v>12</v>
      </c>
      <c r="C15" s="6" t="s">
        <v>15</v>
      </c>
      <c r="D15" s="7"/>
      <c r="E15" s="5"/>
    </row>
    <row r="16" spans="1:5" ht="28" customHeight="1" x14ac:dyDescent="0.2">
      <c r="A16" s="4">
        <v>7</v>
      </c>
      <c r="B16" s="5" t="s">
        <v>12</v>
      </c>
      <c r="C16" s="6" t="s">
        <v>16</v>
      </c>
      <c r="D16" s="7"/>
      <c r="E16" s="5"/>
    </row>
    <row r="17" spans="1:5" ht="24" customHeight="1" x14ac:dyDescent="0.2">
      <c r="A17" s="17" t="s">
        <v>17</v>
      </c>
      <c r="B17" s="18"/>
      <c r="C17" s="18"/>
      <c r="D17" s="18"/>
      <c r="E17" s="18"/>
    </row>
    <row r="18" spans="1:5" ht="28" customHeight="1" x14ac:dyDescent="0.2">
      <c r="A18" s="4">
        <v>8</v>
      </c>
      <c r="B18" s="5" t="s">
        <v>18</v>
      </c>
      <c r="C18" s="6" t="s">
        <v>19</v>
      </c>
      <c r="D18" s="7"/>
      <c r="E18" s="5"/>
    </row>
    <row r="19" spans="1:5" ht="28" customHeight="1" x14ac:dyDescent="0.2">
      <c r="A19" s="4">
        <v>9</v>
      </c>
      <c r="B19" s="5" t="s">
        <v>18</v>
      </c>
      <c r="C19" s="6" t="s">
        <v>20</v>
      </c>
      <c r="D19" s="7"/>
      <c r="E19" s="5"/>
    </row>
    <row r="20" spans="1:5" ht="28" customHeight="1" x14ac:dyDescent="0.2">
      <c r="A20" s="4">
        <v>10</v>
      </c>
      <c r="B20" s="5" t="s">
        <v>18</v>
      </c>
      <c r="C20" s="6" t="s">
        <v>21</v>
      </c>
      <c r="D20" s="7"/>
      <c r="E20" s="5"/>
    </row>
    <row r="21" spans="1:5" ht="28" customHeight="1" x14ac:dyDescent="0.2">
      <c r="A21" s="4">
        <v>11</v>
      </c>
      <c r="B21" s="5" t="s">
        <v>18</v>
      </c>
      <c r="C21" s="6" t="s">
        <v>22</v>
      </c>
      <c r="D21" s="7"/>
      <c r="E21" s="5"/>
    </row>
    <row r="22" spans="1:5" ht="24" customHeight="1" x14ac:dyDescent="0.2">
      <c r="A22" s="17" t="s">
        <v>23</v>
      </c>
      <c r="B22" s="18"/>
      <c r="C22" s="18"/>
      <c r="D22" s="18"/>
      <c r="E22" s="18"/>
    </row>
    <row r="23" spans="1:5" ht="28" customHeight="1" x14ac:dyDescent="0.2">
      <c r="A23" s="4">
        <v>12</v>
      </c>
      <c r="B23" s="5" t="s">
        <v>24</v>
      </c>
      <c r="C23" s="6" t="s">
        <v>25</v>
      </c>
      <c r="D23" s="7"/>
      <c r="E23" s="5"/>
    </row>
    <row r="24" spans="1:5" ht="28" customHeight="1" x14ac:dyDescent="0.2">
      <c r="A24" s="4">
        <v>13</v>
      </c>
      <c r="B24" s="5" t="s">
        <v>24</v>
      </c>
      <c r="C24" s="6" t="s">
        <v>26</v>
      </c>
      <c r="D24" s="7"/>
      <c r="E24" s="5"/>
    </row>
    <row r="25" spans="1:5" ht="28" customHeight="1" x14ac:dyDescent="0.2">
      <c r="A25" s="4">
        <v>14</v>
      </c>
      <c r="B25" s="5" t="s">
        <v>24</v>
      </c>
      <c r="C25" s="6" t="s">
        <v>27</v>
      </c>
      <c r="D25" s="7"/>
      <c r="E25" s="5"/>
    </row>
    <row r="26" spans="1:5" ht="28" customHeight="1" x14ac:dyDescent="0.2">
      <c r="A26" s="4">
        <v>15</v>
      </c>
      <c r="B26" s="5" t="s">
        <v>18</v>
      </c>
      <c r="C26" s="6" t="s">
        <v>28</v>
      </c>
      <c r="D26" s="7"/>
      <c r="E26" s="5"/>
    </row>
    <row r="27" spans="1:5" ht="28" customHeight="1" x14ac:dyDescent="0.2">
      <c r="A27" s="4">
        <v>16</v>
      </c>
      <c r="B27" s="5" t="s">
        <v>18</v>
      </c>
      <c r="C27" s="6" t="s">
        <v>29</v>
      </c>
      <c r="D27" s="7"/>
      <c r="E27" s="5"/>
    </row>
    <row r="28" spans="1:5" ht="28" customHeight="1" x14ac:dyDescent="0.2">
      <c r="A28" s="4">
        <v>17</v>
      </c>
      <c r="B28" s="5" t="s">
        <v>18</v>
      </c>
      <c r="C28" s="6" t="s">
        <v>30</v>
      </c>
      <c r="D28" s="7"/>
      <c r="E28" s="5"/>
    </row>
    <row r="29" spans="1:5" ht="28" customHeight="1" x14ac:dyDescent="0.2">
      <c r="A29" s="4">
        <v>18</v>
      </c>
      <c r="B29" s="5" t="s">
        <v>18</v>
      </c>
      <c r="C29" s="6" t="s">
        <v>31</v>
      </c>
      <c r="D29" s="7"/>
      <c r="E29" s="5"/>
    </row>
    <row r="30" spans="1:5" ht="28" customHeight="1" x14ac:dyDescent="0.2">
      <c r="A30" s="4">
        <v>19</v>
      </c>
      <c r="B30" s="5" t="s">
        <v>32</v>
      </c>
      <c r="C30" s="6" t="s">
        <v>33</v>
      </c>
      <c r="D30" s="7"/>
      <c r="E30" s="5"/>
    </row>
    <row r="31" spans="1:5" ht="28" customHeight="1" x14ac:dyDescent="0.2">
      <c r="A31" s="4">
        <v>20</v>
      </c>
      <c r="B31" s="5" t="s">
        <v>32</v>
      </c>
      <c r="C31" s="6" t="s">
        <v>34</v>
      </c>
      <c r="D31" s="7"/>
      <c r="E31" s="5"/>
    </row>
    <row r="32" spans="1:5" ht="24" customHeight="1" x14ac:dyDescent="0.2">
      <c r="A32" s="17" t="s">
        <v>35</v>
      </c>
      <c r="B32" s="18"/>
      <c r="C32" s="18"/>
      <c r="D32" s="18"/>
      <c r="E32" s="18"/>
    </row>
    <row r="33" spans="1:5" ht="28" customHeight="1" x14ac:dyDescent="0.2">
      <c r="A33" s="4">
        <v>21</v>
      </c>
      <c r="B33" s="5" t="s">
        <v>36</v>
      </c>
      <c r="C33" s="6" t="s">
        <v>37</v>
      </c>
      <c r="D33" s="7"/>
      <c r="E33" s="5"/>
    </row>
    <row r="34" spans="1:5" ht="28" customHeight="1" x14ac:dyDescent="0.2">
      <c r="A34" s="4">
        <v>22</v>
      </c>
      <c r="B34" s="5" t="s">
        <v>36</v>
      </c>
      <c r="C34" s="6" t="s">
        <v>38</v>
      </c>
      <c r="D34" s="7"/>
      <c r="E34" s="5"/>
    </row>
    <row r="35" spans="1:5" ht="28" customHeight="1" x14ac:dyDescent="0.2">
      <c r="A35" s="4">
        <v>23</v>
      </c>
      <c r="B35" s="5" t="s">
        <v>36</v>
      </c>
      <c r="C35" s="6" t="s">
        <v>39</v>
      </c>
      <c r="D35" s="7"/>
      <c r="E35" s="5"/>
    </row>
    <row r="36" spans="1:5" ht="28" customHeight="1" x14ac:dyDescent="0.2">
      <c r="A36" s="4">
        <v>24</v>
      </c>
      <c r="B36" s="5" t="s">
        <v>36</v>
      </c>
      <c r="C36" s="6" t="s">
        <v>40</v>
      </c>
      <c r="D36" s="7"/>
      <c r="E36" s="5"/>
    </row>
    <row r="37" spans="1:5" ht="28" customHeight="1" x14ac:dyDescent="0.2">
      <c r="A37" s="4">
        <v>25</v>
      </c>
      <c r="B37" s="5" t="s">
        <v>36</v>
      </c>
      <c r="C37" s="6" t="s">
        <v>41</v>
      </c>
      <c r="D37" s="7"/>
      <c r="E37" s="5"/>
    </row>
    <row r="38" spans="1:5" ht="28" customHeight="1" x14ac:dyDescent="0.2">
      <c r="A38" s="4">
        <v>26</v>
      </c>
      <c r="B38" s="5" t="s">
        <v>36</v>
      </c>
      <c r="C38" s="6" t="s">
        <v>42</v>
      </c>
      <c r="D38" s="7"/>
      <c r="E38" s="5"/>
    </row>
    <row r="39" spans="1:5" ht="28" customHeight="1" x14ac:dyDescent="0.2">
      <c r="A39" s="4">
        <v>27</v>
      </c>
      <c r="B39" s="5" t="s">
        <v>36</v>
      </c>
      <c r="C39" s="6" t="s">
        <v>43</v>
      </c>
      <c r="D39" s="7"/>
      <c r="E39" s="5"/>
    </row>
    <row r="40" spans="1:5" ht="24" customHeight="1" x14ac:dyDescent="0.2">
      <c r="A40" s="17" t="s">
        <v>44</v>
      </c>
      <c r="B40" s="18"/>
      <c r="C40" s="18"/>
      <c r="D40" s="18"/>
      <c r="E40" s="18"/>
    </row>
    <row r="41" spans="1:5" ht="28" customHeight="1" x14ac:dyDescent="0.2">
      <c r="A41" s="4">
        <v>28</v>
      </c>
      <c r="B41" s="5" t="s">
        <v>24</v>
      </c>
      <c r="C41" s="6" t="s">
        <v>45</v>
      </c>
      <c r="D41" s="7"/>
      <c r="E41" s="5"/>
    </row>
    <row r="42" spans="1:5" ht="28" customHeight="1" x14ac:dyDescent="0.2">
      <c r="A42" s="4">
        <v>29</v>
      </c>
      <c r="B42" s="5" t="s">
        <v>24</v>
      </c>
      <c r="C42" s="6" t="s">
        <v>46</v>
      </c>
      <c r="D42" s="7"/>
      <c r="E42" s="5"/>
    </row>
    <row r="43" spans="1:5" ht="28" customHeight="1" x14ac:dyDescent="0.2">
      <c r="A43" s="4">
        <v>30</v>
      </c>
      <c r="B43" s="5" t="s">
        <v>24</v>
      </c>
      <c r="C43" s="6" t="s">
        <v>47</v>
      </c>
      <c r="D43" s="7"/>
      <c r="E43" s="5"/>
    </row>
    <row r="44" spans="1:5" ht="28" customHeight="1" x14ac:dyDescent="0.2">
      <c r="A44" s="4">
        <v>31</v>
      </c>
      <c r="B44" s="5" t="s">
        <v>24</v>
      </c>
      <c r="C44" s="6" t="s">
        <v>48</v>
      </c>
      <c r="D44" s="7"/>
      <c r="E44" s="5"/>
    </row>
    <row r="45" spans="1:5" ht="28" customHeight="1" x14ac:dyDescent="0.2">
      <c r="A45" s="4">
        <v>32</v>
      </c>
      <c r="B45" s="5" t="s">
        <v>24</v>
      </c>
      <c r="C45" s="6" t="s">
        <v>49</v>
      </c>
      <c r="D45" s="7"/>
      <c r="E45" s="5"/>
    </row>
    <row r="46" spans="1:5" ht="28" customHeight="1" x14ac:dyDescent="0.2">
      <c r="A46" s="4">
        <v>33</v>
      </c>
      <c r="B46" s="5" t="s">
        <v>24</v>
      </c>
      <c r="C46" s="6" t="s">
        <v>50</v>
      </c>
      <c r="D46" s="7"/>
      <c r="E46" s="5"/>
    </row>
    <row r="47" spans="1:5" ht="28" customHeight="1" x14ac:dyDescent="0.2">
      <c r="A47" s="4">
        <v>34</v>
      </c>
      <c r="B47" s="5" t="s">
        <v>24</v>
      </c>
      <c r="C47" s="6" t="s">
        <v>51</v>
      </c>
      <c r="D47" s="7"/>
      <c r="E47" s="5"/>
    </row>
    <row r="48" spans="1:5" ht="24" customHeight="1" x14ac:dyDescent="0.2">
      <c r="A48" s="17" t="s">
        <v>52</v>
      </c>
      <c r="B48" s="18"/>
      <c r="C48" s="18"/>
      <c r="D48" s="18"/>
      <c r="E48" s="18"/>
    </row>
    <row r="49" spans="1:5" ht="28" customHeight="1" x14ac:dyDescent="0.2">
      <c r="A49" s="4">
        <v>35</v>
      </c>
      <c r="B49" s="5" t="s">
        <v>53</v>
      </c>
      <c r="C49" s="6" t="s">
        <v>54</v>
      </c>
      <c r="D49" s="7"/>
      <c r="E49" s="5"/>
    </row>
    <row r="50" spans="1:5" ht="28" customHeight="1" x14ac:dyDescent="0.2">
      <c r="A50" s="4">
        <v>36</v>
      </c>
      <c r="B50" s="5" t="s">
        <v>53</v>
      </c>
      <c r="C50" s="6" t="s">
        <v>55</v>
      </c>
      <c r="D50" s="7"/>
      <c r="E50" s="5"/>
    </row>
    <row r="51" spans="1:5" ht="28" customHeight="1" x14ac:dyDescent="0.2">
      <c r="A51" s="4">
        <v>37</v>
      </c>
      <c r="B51" s="5" t="s">
        <v>53</v>
      </c>
      <c r="C51" s="6" t="s">
        <v>56</v>
      </c>
      <c r="D51" s="7"/>
      <c r="E51" s="5"/>
    </row>
    <row r="52" spans="1:5" ht="28" customHeight="1" x14ac:dyDescent="0.2">
      <c r="A52" s="4">
        <v>38</v>
      </c>
      <c r="B52" s="5" t="s">
        <v>57</v>
      </c>
      <c r="C52" s="6" t="s">
        <v>58</v>
      </c>
      <c r="D52" s="7"/>
      <c r="E52" s="5"/>
    </row>
    <row r="53" spans="1:5" ht="28" customHeight="1" x14ac:dyDescent="0.2">
      <c r="A53" s="4">
        <v>39</v>
      </c>
      <c r="B53" s="5" t="s">
        <v>57</v>
      </c>
      <c r="C53" s="6" t="s">
        <v>59</v>
      </c>
      <c r="D53" s="7"/>
      <c r="E53" s="5"/>
    </row>
    <row r="54" spans="1:5" ht="24" customHeight="1" x14ac:dyDescent="0.2">
      <c r="A54" s="17" t="s">
        <v>60</v>
      </c>
      <c r="B54" s="18"/>
      <c r="C54" s="18"/>
      <c r="D54" s="18"/>
      <c r="E54" s="18"/>
    </row>
    <row r="55" spans="1:5" ht="28" customHeight="1" x14ac:dyDescent="0.2">
      <c r="A55" s="4">
        <v>40</v>
      </c>
      <c r="B55" s="5" t="s">
        <v>61</v>
      </c>
      <c r="C55" s="6" t="s">
        <v>62</v>
      </c>
      <c r="D55" s="7"/>
      <c r="E55" s="5"/>
    </row>
    <row r="56" spans="1:5" ht="28" customHeight="1" x14ac:dyDescent="0.2">
      <c r="A56" s="4">
        <v>41</v>
      </c>
      <c r="B56" s="5" t="s">
        <v>61</v>
      </c>
      <c r="C56" s="6" t="s">
        <v>63</v>
      </c>
      <c r="D56" s="7"/>
      <c r="E56" s="5"/>
    </row>
    <row r="57" spans="1:5" ht="28" customHeight="1" x14ac:dyDescent="0.2">
      <c r="A57" s="4">
        <v>42</v>
      </c>
      <c r="B57" s="5" t="s">
        <v>61</v>
      </c>
      <c r="C57" s="6" t="s">
        <v>64</v>
      </c>
      <c r="D57" s="7"/>
      <c r="E57" s="5"/>
    </row>
    <row r="58" spans="1:5" ht="28" customHeight="1" x14ac:dyDescent="0.2">
      <c r="A58" s="4">
        <v>43</v>
      </c>
      <c r="B58" s="5" t="s">
        <v>61</v>
      </c>
      <c r="C58" s="6" t="s">
        <v>65</v>
      </c>
      <c r="D58" s="7"/>
      <c r="E58" s="5"/>
    </row>
    <row r="59" spans="1:5" ht="28" customHeight="1" x14ac:dyDescent="0.2">
      <c r="A59" s="4">
        <v>44</v>
      </c>
      <c r="B59" s="5" t="s">
        <v>61</v>
      </c>
      <c r="C59" s="6" t="s">
        <v>66</v>
      </c>
      <c r="D59" s="7"/>
      <c r="E59" s="5"/>
    </row>
    <row r="61" spans="1:5" ht="28" customHeight="1" x14ac:dyDescent="0.25">
      <c r="B61" s="16" t="s">
        <v>12</v>
      </c>
      <c r="C61" s="15"/>
      <c r="D61" s="15"/>
      <c r="E61" s="15"/>
    </row>
    <row r="62" spans="1:5" x14ac:dyDescent="0.2">
      <c r="B62" s="3" t="s">
        <v>67</v>
      </c>
      <c r="C62" s="3" t="s">
        <v>68</v>
      </c>
      <c r="D62" s="3" t="s">
        <v>69</v>
      </c>
      <c r="E62" s="3" t="s">
        <v>70</v>
      </c>
    </row>
    <row r="63" spans="1:5" x14ac:dyDescent="0.2">
      <c r="B63" s="8" t="s">
        <v>71</v>
      </c>
      <c r="C63" s="9">
        <v>7</v>
      </c>
      <c r="D63" s="9">
        <f>COUNTIF($D$10:$D$16,"Pass")</f>
        <v>0</v>
      </c>
      <c r="E63" s="9">
        <f>COUNTIF($D$10:$D$16,"Fail")</f>
        <v>0</v>
      </c>
    </row>
    <row r="64" spans="1:5" x14ac:dyDescent="0.2">
      <c r="B64" s="8" t="s">
        <v>72</v>
      </c>
      <c r="C64" s="9">
        <v>4</v>
      </c>
      <c r="D64" s="9">
        <f>COUNTIF($D$18:$D$21,"Pass")</f>
        <v>0</v>
      </c>
      <c r="E64" s="9">
        <f>COUNTIF($D$18:$D$21,"Fail")</f>
        <v>0</v>
      </c>
    </row>
    <row r="65" spans="2:5" x14ac:dyDescent="0.2">
      <c r="B65" s="8" t="s">
        <v>73</v>
      </c>
      <c r="C65" s="9">
        <v>9</v>
      </c>
      <c r="D65" s="9">
        <f>COUNTIF($D$23:$D$31,"Pass")</f>
        <v>0</v>
      </c>
      <c r="E65" s="9">
        <f>COUNTIF($D$23:$D$31,"Fail")</f>
        <v>0</v>
      </c>
    </row>
    <row r="66" spans="2:5" x14ac:dyDescent="0.2">
      <c r="B66" s="8" t="s">
        <v>74</v>
      </c>
      <c r="C66" s="9">
        <v>7</v>
      </c>
      <c r="D66" s="9">
        <f>COUNTIF($D$33:$D$39,"Pass")</f>
        <v>0</v>
      </c>
      <c r="E66" s="9">
        <f>COUNTIF($D$33:$D$39,"Fail")</f>
        <v>0</v>
      </c>
    </row>
    <row r="67" spans="2:5" x14ac:dyDescent="0.2">
      <c r="B67" s="8" t="s">
        <v>75</v>
      </c>
      <c r="C67" s="9">
        <v>7</v>
      </c>
      <c r="D67" s="9">
        <f>COUNTIF($D$41:$D$47,"Pass")</f>
        <v>0</v>
      </c>
      <c r="E67" s="9">
        <f>COUNTIF($D$41:$D$47,"Fail")</f>
        <v>0</v>
      </c>
    </row>
    <row r="68" spans="2:5" x14ac:dyDescent="0.2">
      <c r="B68" s="8" t="s">
        <v>76</v>
      </c>
      <c r="C68" s="9">
        <v>5</v>
      </c>
      <c r="D68" s="9">
        <f>COUNTIF($D$49:$D$53,"Pass")</f>
        <v>0</v>
      </c>
      <c r="E68" s="9">
        <f>COUNTIF($D$49:$D$53,"Fail")</f>
        <v>0</v>
      </c>
    </row>
    <row r="69" spans="2:5" x14ac:dyDescent="0.2">
      <c r="B69" s="8" t="s">
        <v>77</v>
      </c>
      <c r="C69" s="9">
        <v>5</v>
      </c>
      <c r="D69" s="9">
        <f>COUNTIF($D$55:$D$59,"Pass")</f>
        <v>0</v>
      </c>
      <c r="E69" s="9">
        <f>COUNTIF($D$55:$D$59,"Fail")</f>
        <v>0</v>
      </c>
    </row>
    <row r="70" spans="2:5" x14ac:dyDescent="0.2">
      <c r="B70" s="10" t="s">
        <v>78</v>
      </c>
      <c r="C70" s="11">
        <v>44</v>
      </c>
      <c r="D70" s="11">
        <f>SUM(D63:D69)</f>
        <v>0</v>
      </c>
      <c r="E70" s="11">
        <f>SUM(E63:E69)</f>
        <v>0</v>
      </c>
    </row>
    <row r="72" spans="2:5" x14ac:dyDescent="0.2">
      <c r="B72" s="14" t="s">
        <v>79</v>
      </c>
      <c r="C72" s="15"/>
      <c r="D72" s="12"/>
    </row>
    <row r="74" spans="2:5" x14ac:dyDescent="0.2">
      <c r="B74" s="14" t="s">
        <v>80</v>
      </c>
      <c r="C74" s="15"/>
    </row>
    <row r="75" spans="2:5" x14ac:dyDescent="0.2">
      <c r="B75" s="13" t="s">
        <v>81</v>
      </c>
      <c r="C75" s="19"/>
      <c r="D75" s="20"/>
      <c r="E75" s="20"/>
    </row>
    <row r="76" spans="2:5" x14ac:dyDescent="0.2">
      <c r="B76" s="13" t="s">
        <v>82</v>
      </c>
      <c r="C76" s="19"/>
      <c r="D76" s="20"/>
      <c r="E76" s="20"/>
    </row>
    <row r="77" spans="2:5" x14ac:dyDescent="0.2">
      <c r="B77" s="13" t="s">
        <v>83</v>
      </c>
      <c r="C77" s="19"/>
      <c r="D77" s="20"/>
      <c r="E77" s="20"/>
    </row>
  </sheetData>
  <mergeCells count="14">
    <mergeCell ref="A40:E40"/>
    <mergeCell ref="A1:E1"/>
    <mergeCell ref="A32:E32"/>
    <mergeCell ref="C77:E77"/>
    <mergeCell ref="A22:E22"/>
    <mergeCell ref="A17:E17"/>
    <mergeCell ref="A9:E9"/>
    <mergeCell ref="B74:C74"/>
    <mergeCell ref="B61:E61"/>
    <mergeCell ref="A48:E48"/>
    <mergeCell ref="C76:E76"/>
    <mergeCell ref="A54:E54"/>
    <mergeCell ref="B72:C72"/>
    <mergeCell ref="C75:E75"/>
  </mergeCells>
  <conditionalFormatting sqref="D9:D60">
    <cfRule type="cellIs" dxfId="2" priority="1" operator="equal">
      <formula>"Pass"</formula>
    </cfRule>
    <cfRule type="cellIs" dxfId="1" priority="2" operator="equal">
      <formula>"Fail"</formula>
    </cfRule>
    <cfRule type="cellIs" dxfId="0" priority="3" operator="equal">
      <formula>"N/A"</formula>
    </cfRule>
  </conditionalFormatting>
  <dataValidations count="2">
    <dataValidation type="list" allowBlank="1" errorTitle="Invalid entry" error="Please select Pass, Fail, or N/A" sqref="D10 D11 D12 D13 D14 D15 D16 D18 D19 D20 D21 D23 D24 D25 D26 D27 D28 D29 D30 D31 D33 D34 D35 D36 D37 D38 D39 D41 D42 D43 D44 D45 D46 D47 D49 D50 D51 D52 D53 D55 D56 D57 D58 D59" xr:uid="{00000000-0002-0000-0000-000000000000}">
      <formula1>"Pass,Fail,N/A"</formula1>
    </dataValidation>
    <dataValidation type="list" allowBlank="1" sqref="D72" xr:uid="{00000000-0002-0000-0000-000001000000}">
      <formula1>"Pass,Fail,Pass with notes"</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Eval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Marisa Mission</cp:lastModifiedBy>
  <dcterms:created xsi:type="dcterms:W3CDTF">2026-02-25T04:40:09Z</dcterms:created>
  <dcterms:modified xsi:type="dcterms:W3CDTF">2026-02-25T05:07:00Z</dcterms:modified>
</cp:coreProperties>
</file>